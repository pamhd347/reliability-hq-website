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riteria Definitions" sheetId="2" state="visible" r:id="rId2"/>
    <sheet name="Equipment Input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D6E6E"/>
      <sz val="16"/>
    </font>
    <font>
      <sz val="11"/>
    </font>
    <font>
      <b val="1"/>
      <color rgb="000D6E6E"/>
      <sz val="12"/>
    </font>
    <font>
      <i val="1"/>
      <color rgb="00666666"/>
      <sz val="9"/>
    </font>
    <font>
      <b val="1"/>
      <color rgb="000D6E6E"/>
      <sz val="14"/>
    </font>
    <font>
      <b val="1"/>
      <sz val="12"/>
    </font>
    <font>
      <b val="1"/>
      <color rgb="00FFFFFF"/>
      <sz val="11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0D6E6E"/>
        <bgColor rgb="000D6E6E"/>
      </patternFill>
    </fill>
    <fill>
      <patternFill patternType="solid">
        <fgColor rgb="00E9ECEF"/>
        <bgColor rgb="00E9EC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9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2" fontId="0" fillId="0" borderId="0" pivotButton="0" quotePrefix="0" xfId="0"/>
    <xf numFmtId="0" fontId="0" fillId="3" borderId="1" pivotButton="0" quotePrefix="0" xfId="0"/>
    <xf numFmtId="2" fontId="0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F6B6B"/>
          <bgColor rgb="00FF6B6B"/>
        </patternFill>
      </fill>
    </dxf>
    <dxf>
      <fill>
        <patternFill patternType="solid">
          <fgColor rgb="00FFB347"/>
          <bgColor rgb="00FFB347"/>
        </patternFill>
      </fill>
    </dxf>
    <dxf>
      <fill>
        <patternFill patternType="solid">
          <fgColor rgb="00FFEB99"/>
          <bgColor rgb="00FFEB99"/>
        </patternFill>
      </fill>
    </dxf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Equipment by Criticality Score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'Dashboard'!D13</f>
            </strRef>
          </tx>
          <spPr>
            <a:ln>
              <a:prstDash val="solid"/>
            </a:ln>
          </spPr>
          <cat>
            <numRef>
              <f>'Dashboard'!$C$14:$C$23</f>
            </numRef>
          </cat>
          <val>
            <numRef>
              <f>'Dashboard'!$D$14:$D$23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Criticality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Criticality Analysis Calculator</t>
        </is>
      </c>
    </row>
    <row r="2">
      <c r="A2" s="2" t="inlineStr"/>
    </row>
    <row r="3">
      <c r="A3" s="2" t="inlineStr">
        <is>
          <t>This workbook calculates equipment criticality scores using a weighted multi-criteria approach.</t>
        </is>
      </c>
    </row>
    <row r="4">
      <c r="A4" s="2" t="inlineStr">
        <is>
          <t>Use it to prioritise assets for RCM analysis, spare parts stocking, and maintenance strategy.</t>
        </is>
      </c>
    </row>
    <row r="5">
      <c r="A5" s="2" t="inlineStr"/>
    </row>
    <row r="6">
      <c r="A6" s="3" t="inlineStr">
        <is>
          <t>SHEETS IN THIS WORKBOOK:</t>
        </is>
      </c>
    </row>
    <row r="7">
      <c r="A7" s="2" t="inlineStr">
        <is>
          <t>1. Criteria Definitions - Scoring guidelines and criteria weights (customisable)</t>
        </is>
      </c>
    </row>
    <row r="8">
      <c r="A8" s="2" t="inlineStr">
        <is>
          <t>2. Equipment Input - Enter your equipment and score each criterion</t>
        </is>
      </c>
    </row>
    <row r="9">
      <c r="A9" s="2" t="inlineStr">
        <is>
          <t>3. Dashboard - View ranked results and charts</t>
        </is>
      </c>
    </row>
    <row r="10">
      <c r="A10" s="2" t="inlineStr"/>
    </row>
    <row r="11">
      <c r="A11" s="3" t="inlineStr">
        <is>
          <t>HOW TO USE:</t>
        </is>
      </c>
    </row>
    <row r="12">
      <c r="A12" s="2" t="inlineStr">
        <is>
          <t>Step 1: Review and customise the Criteria Definitions (optional)</t>
        </is>
      </c>
    </row>
    <row r="13">
      <c r="A13" s="2" t="inlineStr">
        <is>
          <t>Step 2: Adjust the criteria weights if needed (must sum to 100%)</t>
        </is>
      </c>
    </row>
    <row r="14">
      <c r="A14" s="2" t="inlineStr">
        <is>
          <t>Step 3: Enter your equipment in the Equipment Input sheet</t>
        </is>
      </c>
    </row>
    <row r="15">
      <c r="A15" s="2" t="inlineStr">
        <is>
          <t>Step 4: Score each criterion from 1 (lowest) to 5 (highest)</t>
        </is>
      </c>
    </row>
    <row r="16">
      <c r="A16" s="2" t="inlineStr">
        <is>
          <t>Step 5: Review the results on the Dashboard</t>
        </is>
      </c>
    </row>
    <row r="17">
      <c r="A17" s="2" t="inlineStr"/>
    </row>
    <row r="18">
      <c r="A18" s="3" t="inlineStr">
        <is>
          <t>CRITERIA EXPLAINED:</t>
        </is>
      </c>
    </row>
    <row r="19">
      <c r="A19" s="2" t="inlineStr">
        <is>
          <t>Safety: Potential for injury or fatality if equipment fails</t>
        </is>
      </c>
    </row>
    <row r="20">
      <c r="A20" s="2" t="inlineStr">
        <is>
          <t>Environmental: Potential for spills, emissions, or environmental damage</t>
        </is>
      </c>
    </row>
    <row r="21">
      <c r="A21" s="2" t="inlineStr">
        <is>
          <t>Production: Impact on output, throughput, or revenue if equipment fails</t>
        </is>
      </c>
    </row>
    <row r="22">
      <c r="A22" s="2" t="inlineStr">
        <is>
          <t>Cost: Direct repair/replacement cost and consequential costs</t>
        </is>
      </c>
    </row>
    <row r="23">
      <c r="A23" s="2" t="inlineStr"/>
    </row>
    <row r="24">
      <c r="A24" s="3" t="inlineStr">
        <is>
          <t>SCORING GUIDE:</t>
        </is>
      </c>
    </row>
    <row r="25">
      <c r="A25" s="2" t="inlineStr">
        <is>
          <t>1 = Negligible impact</t>
        </is>
      </c>
    </row>
    <row r="26">
      <c r="A26" s="2" t="inlineStr">
        <is>
          <t>2 = Minor impact, easily managed</t>
        </is>
      </c>
    </row>
    <row r="27">
      <c r="A27" s="2" t="inlineStr">
        <is>
          <t>3 = Moderate impact, some effort to manage</t>
        </is>
      </c>
    </row>
    <row r="28">
      <c r="A28" s="2" t="inlineStr">
        <is>
          <t>4 = Significant impact, substantial effort/cost</t>
        </is>
      </c>
    </row>
    <row r="29">
      <c r="A29" s="2" t="inlineStr">
        <is>
          <t>5 = Severe/catastrophic impact</t>
        </is>
      </c>
    </row>
    <row r="30">
      <c r="A30" s="2" t="inlineStr"/>
    </row>
    <row r="31">
      <c r="A31" s="2" t="inlineStr">
        <is>
          <t>See the Criteria Definitions sheet for detailed scoring guidelines.</t>
        </is>
      </c>
    </row>
    <row r="34">
      <c r="A34" s="4" t="inlineStr">
        <is>
          <t>© 2026 Reliability HQ | reliabilityhq.com</t>
        </is>
      </c>
    </row>
  </sheetData>
  <mergeCells count="1">
    <mergeCell ref="A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0" customWidth="1" min="3" max="3"/>
  </cols>
  <sheetData>
    <row r="1">
      <c r="A1" s="5" t="inlineStr">
        <is>
          <t>CRITICALITY SCORING CRITERIA</t>
        </is>
      </c>
    </row>
    <row r="3">
      <c r="A3" s="6" t="inlineStr">
        <is>
          <t>CRITERIA WEIGHTS (adjust to suit your priorities)</t>
        </is>
      </c>
    </row>
    <row r="4">
      <c r="A4" s="7" t="inlineStr">
        <is>
          <t>Criterion</t>
        </is>
      </c>
      <c r="B4" s="7" t="inlineStr">
        <is>
          <t>Weight (%)</t>
        </is>
      </c>
      <c r="C4" s="7" t="inlineStr">
        <is>
          <t>Description</t>
        </is>
      </c>
    </row>
    <row r="5">
      <c r="A5" s="8" t="inlineStr">
        <is>
          <t>Safety</t>
        </is>
      </c>
      <c r="B5" s="8" t="n">
        <v>30</v>
      </c>
      <c r="C5" s="8" t="inlineStr">
        <is>
          <t>Risk of injury or fatality</t>
        </is>
      </c>
    </row>
    <row r="6">
      <c r="A6" s="8" t="inlineStr">
        <is>
          <t>Environmental</t>
        </is>
      </c>
      <c r="B6" s="8" t="n">
        <v>20</v>
      </c>
      <c r="C6" s="8" t="inlineStr">
        <is>
          <t>Risk of environmental harm</t>
        </is>
      </c>
    </row>
    <row r="7">
      <c r="A7" s="8" t="inlineStr">
        <is>
          <t>Production</t>
        </is>
      </c>
      <c r="B7" s="8" t="n">
        <v>35</v>
      </c>
      <c r="C7" s="8" t="inlineStr">
        <is>
          <t>Impact on production/revenue</t>
        </is>
      </c>
    </row>
    <row r="8">
      <c r="A8" s="8" t="inlineStr">
        <is>
          <t>Cost</t>
        </is>
      </c>
      <c r="B8" s="8" t="n">
        <v>15</v>
      </c>
      <c r="C8" s="8" t="inlineStr">
        <is>
          <t>Direct and consequential costs</t>
        </is>
      </c>
    </row>
    <row r="10">
      <c r="A10" s="9" t="inlineStr">
        <is>
          <t>Note: Weights should sum to 100%</t>
        </is>
      </c>
      <c r="B10" s="10">
        <f>SUM(B5:B8)</f>
        <v/>
      </c>
    </row>
    <row r="13">
      <c r="A13" s="3" t="inlineStr">
        <is>
          <t>SAFETY SCORING</t>
        </is>
      </c>
    </row>
    <row r="14">
      <c r="A14" s="11" t="inlineStr">
        <is>
          <t>Score</t>
        </is>
      </c>
      <c r="B14" s="11" t="inlineStr">
        <is>
          <t>Definition</t>
        </is>
      </c>
    </row>
    <row r="15">
      <c r="A15" s="12" t="n">
        <v>1</v>
      </c>
      <c r="B15" s="8" t="inlineStr">
        <is>
          <t>No safety impact</t>
        </is>
      </c>
    </row>
    <row r="16">
      <c r="A16" s="12" t="n">
        <v>2</v>
      </c>
      <c r="B16" s="8" t="inlineStr">
        <is>
          <t>Minor first aid injury possible</t>
        </is>
      </c>
    </row>
    <row r="17">
      <c r="A17" s="12" t="n">
        <v>3</v>
      </c>
      <c r="B17" s="8" t="inlineStr">
        <is>
          <t>Lost time injury possible</t>
        </is>
      </c>
    </row>
    <row r="18">
      <c r="A18" s="12" t="n">
        <v>4</v>
      </c>
      <c r="B18" s="8" t="inlineStr">
        <is>
          <t>Serious injury or permanent disability possible</t>
        </is>
      </c>
    </row>
    <row r="19">
      <c r="A19" s="12" t="n">
        <v>5</v>
      </c>
      <c r="B19" s="8" t="inlineStr">
        <is>
          <t>Fatality or multiple serious injuries possible</t>
        </is>
      </c>
    </row>
    <row r="21">
      <c r="A21" s="3" t="inlineStr">
        <is>
          <t>ENVIRONMENTAL SCORING</t>
        </is>
      </c>
    </row>
    <row r="22">
      <c r="A22" s="11" t="inlineStr">
        <is>
          <t>Score</t>
        </is>
      </c>
      <c r="B22" s="11" t="inlineStr">
        <is>
          <t>Definition</t>
        </is>
      </c>
    </row>
    <row r="23">
      <c r="A23" s="12" t="n">
        <v>1</v>
      </c>
      <c r="B23" s="8" t="inlineStr">
        <is>
          <t>No environmental impact</t>
        </is>
      </c>
    </row>
    <row r="24">
      <c r="A24" s="12" t="n">
        <v>2</v>
      </c>
      <c r="B24" s="8" t="inlineStr">
        <is>
          <t>Minor contained release, easy cleanup</t>
        </is>
      </c>
    </row>
    <row r="25">
      <c r="A25" s="12" t="n">
        <v>3</v>
      </c>
      <c r="B25" s="8" t="inlineStr">
        <is>
          <t>Moderate release, reportable incident</t>
        </is>
      </c>
    </row>
    <row r="26">
      <c r="A26" s="12" t="n">
        <v>4</v>
      </c>
      <c r="B26" s="8" t="inlineStr">
        <is>
          <t>Significant release, regulatory action likely</t>
        </is>
      </c>
    </row>
    <row r="27">
      <c r="A27" s="12" t="n">
        <v>5</v>
      </c>
      <c r="B27" s="8" t="inlineStr">
        <is>
          <t>Major release, lasting environmental damage</t>
        </is>
      </c>
    </row>
    <row r="29">
      <c r="A29" s="3" t="inlineStr">
        <is>
          <t>PRODUCTION SCORING</t>
        </is>
      </c>
    </row>
    <row r="30">
      <c r="A30" s="11" t="inlineStr">
        <is>
          <t>Score</t>
        </is>
      </c>
      <c r="B30" s="11" t="inlineStr">
        <is>
          <t>Definition</t>
        </is>
      </c>
    </row>
    <row r="31">
      <c r="A31" s="12" t="n">
        <v>1</v>
      </c>
      <c r="B31" s="8" t="inlineStr">
        <is>
          <t>No production impact</t>
        </is>
      </c>
    </row>
    <row r="32">
      <c r="A32" s="12" t="n">
        <v>2</v>
      </c>
      <c r="B32" s="8" t="inlineStr">
        <is>
          <t>Minor delay (&lt;1 hour), no output loss</t>
        </is>
      </c>
    </row>
    <row r="33">
      <c r="A33" s="12" t="n">
        <v>3</v>
      </c>
      <c r="B33" s="8" t="inlineStr">
        <is>
          <t>Moderate impact (1-8 hours downtime)</t>
        </is>
      </c>
    </row>
    <row r="34">
      <c r="A34" s="12" t="n">
        <v>4</v>
      </c>
      <c r="B34" s="8" t="inlineStr">
        <is>
          <t>Significant impact (8-48 hours downtime)</t>
        </is>
      </c>
    </row>
    <row r="35">
      <c r="A35" s="12" t="n">
        <v>5</v>
      </c>
      <c r="B35" s="8" t="inlineStr">
        <is>
          <t>Severe impact (&gt;48 hours or plant-wide effect)</t>
        </is>
      </c>
    </row>
    <row r="37">
      <c r="A37" s="3" t="inlineStr">
        <is>
          <t>COST SCORING</t>
        </is>
      </c>
    </row>
    <row r="38">
      <c r="A38" s="11" t="inlineStr">
        <is>
          <t>Score</t>
        </is>
      </c>
      <c r="B38" s="11" t="inlineStr">
        <is>
          <t>Definition</t>
        </is>
      </c>
    </row>
    <row r="39">
      <c r="A39" s="12" t="n">
        <v>1</v>
      </c>
      <c r="B39" s="8" t="inlineStr">
        <is>
          <t>&lt; £1,000</t>
        </is>
      </c>
    </row>
    <row r="40">
      <c r="A40" s="12" t="n">
        <v>2</v>
      </c>
      <c r="B40" s="8" t="inlineStr">
        <is>
          <t>£1,000 - £10,000</t>
        </is>
      </c>
    </row>
    <row r="41">
      <c r="A41" s="12" t="n">
        <v>3</v>
      </c>
      <c r="B41" s="8" t="inlineStr">
        <is>
          <t>£10,000 - £50,000</t>
        </is>
      </c>
    </row>
    <row r="42">
      <c r="A42" s="12" t="n">
        <v>4</v>
      </c>
      <c r="B42" s="8" t="inlineStr">
        <is>
          <t>£50,000 - £250,000</t>
        </is>
      </c>
    </row>
    <row r="43">
      <c r="A43" s="12" t="n">
        <v>5</v>
      </c>
      <c r="B43" s="8" t="inlineStr">
        <is>
          <t>&gt; £250,000</t>
        </is>
      </c>
    </row>
    <row r="50">
      <c r="A50" s="4" t="inlineStr">
        <is>
          <t>© 2026 Reliability HQ | reliabilityhq.com</t>
        </is>
      </c>
    </row>
  </sheetData>
  <mergeCells count="1">
    <mergeCell ref="A50:C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4" customWidth="1" min="5" max="5"/>
    <col width="14" customWidth="1" min="6" max="6"/>
    <col width="12" customWidth="1" min="7" max="7"/>
    <col width="15" customWidth="1" min="8" max="8"/>
    <col width="8" customWidth="1" min="9" max="9"/>
    <col width="12" customWidth="1" min="10" max="10"/>
  </cols>
  <sheetData>
    <row r="1">
      <c r="A1" s="13" t="inlineStr">
        <is>
          <t>Equipment Tag</t>
        </is>
      </c>
      <c r="B1" s="13" t="inlineStr">
        <is>
          <t>Equipment Name</t>
        </is>
      </c>
      <c r="C1" s="13" t="inlineStr">
        <is>
          <t>Area/System</t>
        </is>
      </c>
      <c r="D1" s="13" t="inlineStr">
        <is>
          <t>Safety
(1-5)</t>
        </is>
      </c>
      <c r="E1" s="13" t="inlineStr">
        <is>
          <t>Environmental
(1-5)</t>
        </is>
      </c>
      <c r="F1" s="13" t="inlineStr">
        <is>
          <t>Production
(1-5)</t>
        </is>
      </c>
      <c r="G1" s="13" t="inlineStr">
        <is>
          <t>Cost
(1-5)</t>
        </is>
      </c>
      <c r="H1" s="13" t="inlineStr">
        <is>
          <t>Weighted Score</t>
        </is>
      </c>
      <c r="I1" s="13" t="inlineStr">
        <is>
          <t>Rank</t>
        </is>
      </c>
      <c r="J1" s="13" t="inlineStr">
        <is>
          <t>Criticality</t>
        </is>
      </c>
    </row>
    <row r="2">
      <c r="A2" s="14" t="inlineStr">
        <is>
          <t>P-101</t>
        </is>
      </c>
      <c r="B2" s="14" t="inlineStr">
        <is>
          <t>Main Feed Pump</t>
        </is>
      </c>
      <c r="C2" s="14" t="inlineStr">
        <is>
          <t>Process</t>
        </is>
      </c>
      <c r="D2" s="14" t="n">
        <v>2</v>
      </c>
      <c r="E2" s="14" t="n">
        <v>2</v>
      </c>
      <c r="F2" s="14" t="n">
        <v>5</v>
      </c>
      <c r="G2" s="14" t="n">
        <v>4</v>
      </c>
      <c r="H2" s="15">
        <f>D2*'Criteria Definitions'!$B$5/100+E2*'Criteria Definitions'!$B$6/100+F2*'Criteria Definitions'!$B$7/100+G2*'Criteria Definitions'!$B$8/100</f>
        <v/>
      </c>
      <c r="I2" s="14">
        <f>RANK(H2,$H$2:$H$101,0)</f>
        <v/>
      </c>
      <c r="J2" s="14">
        <f>IF(H2&gt;=4,"Critical",IF(H2&gt;=3,"High",IF(H2&gt;=2,"Medium","Low")))</f>
        <v/>
      </c>
    </row>
    <row r="3">
      <c r="A3" s="16" t="inlineStr">
        <is>
          <t>P-102</t>
        </is>
      </c>
      <c r="B3" s="16" t="inlineStr">
        <is>
          <t>Backup Feed Pump</t>
        </is>
      </c>
      <c r="C3" s="16" t="inlineStr">
        <is>
          <t>Process</t>
        </is>
      </c>
      <c r="D3" s="16" t="n">
        <v>2</v>
      </c>
      <c r="E3" s="16" t="n">
        <v>2</v>
      </c>
      <c r="F3" s="16" t="n">
        <v>2</v>
      </c>
      <c r="G3" s="16" t="n">
        <v>4</v>
      </c>
      <c r="H3" s="17">
        <f>D3*'Criteria Definitions'!$B$5/100+E3*'Criteria Definitions'!$B$6/100+F3*'Criteria Definitions'!$B$7/100+G3*'Criteria Definitions'!$B$8/100</f>
        <v/>
      </c>
      <c r="I3" s="16">
        <f>RANK(H3,$H$2:$H$101,0)</f>
        <v/>
      </c>
      <c r="J3" s="16">
        <f>IF(H3&gt;=4,"Critical",IF(H3&gt;=3,"High",IF(H3&gt;=2,"Medium","Low")))</f>
        <v/>
      </c>
    </row>
    <row r="4">
      <c r="A4" s="14" t="inlineStr">
        <is>
          <t>C-101</t>
        </is>
      </c>
      <c r="B4" s="14" t="inlineStr">
        <is>
          <t>Product Compressor</t>
        </is>
      </c>
      <c r="C4" s="14" t="inlineStr">
        <is>
          <t>Compression</t>
        </is>
      </c>
      <c r="D4" s="14" t="n">
        <v>4</v>
      </c>
      <c r="E4" s="14" t="n">
        <v>3</v>
      </c>
      <c r="F4" s="14" t="n">
        <v>5</v>
      </c>
      <c r="G4" s="14" t="n">
        <v>5</v>
      </c>
      <c r="H4" s="15">
        <f>D4*'Criteria Definitions'!$B$5/100+E4*'Criteria Definitions'!$B$6/100+F4*'Criteria Definitions'!$B$7/100+G4*'Criteria Definitions'!$B$8/100</f>
        <v/>
      </c>
      <c r="I4" s="14">
        <f>RANK(H4,$H$2:$H$101,0)</f>
        <v/>
      </c>
      <c r="J4" s="14">
        <f>IF(H4&gt;=4,"Critical",IF(H4&gt;=3,"High",IF(H4&gt;=2,"Medium","Low")))</f>
        <v/>
      </c>
    </row>
    <row r="5">
      <c r="A5" s="16" t="inlineStr">
        <is>
          <t>E-101</t>
        </is>
      </c>
      <c r="B5" s="16" t="inlineStr">
        <is>
          <t>Process Heat Exchanger</t>
        </is>
      </c>
      <c r="C5" s="16" t="inlineStr">
        <is>
          <t>Heat Transfer</t>
        </is>
      </c>
      <c r="D5" s="16" t="n">
        <v>3</v>
      </c>
      <c r="E5" s="16" t="n">
        <v>4</v>
      </c>
      <c r="F5" s="16" t="n">
        <v>4</v>
      </c>
      <c r="G5" s="16" t="n">
        <v>3</v>
      </c>
      <c r="H5" s="17">
        <f>D5*'Criteria Definitions'!$B$5/100+E5*'Criteria Definitions'!$B$6/100+F5*'Criteria Definitions'!$B$7/100+G5*'Criteria Definitions'!$B$8/100</f>
        <v/>
      </c>
      <c r="I5" s="16">
        <f>RANK(H5,$H$2:$H$101,0)</f>
        <v/>
      </c>
      <c r="J5" s="16">
        <f>IF(H5&gt;=4,"Critical",IF(H5&gt;=3,"High",IF(H5&gt;=2,"Medium","Low")))</f>
        <v/>
      </c>
    </row>
    <row r="6">
      <c r="A6" s="14" t="inlineStr">
        <is>
          <t>T-101</t>
        </is>
      </c>
      <c r="B6" s="14" t="inlineStr">
        <is>
          <t>Feed Tank</t>
        </is>
      </c>
      <c r="C6" s="14" t="inlineStr">
        <is>
          <t>Storage</t>
        </is>
      </c>
      <c r="D6" s="14" t="n">
        <v>3</v>
      </c>
      <c r="E6" s="14" t="n">
        <v>5</v>
      </c>
      <c r="F6" s="14" t="n">
        <v>3</v>
      </c>
      <c r="G6" s="14" t="n">
        <v>3</v>
      </c>
      <c r="H6" s="15">
        <f>D6*'Criteria Definitions'!$B$5/100+E6*'Criteria Definitions'!$B$6/100+F6*'Criteria Definitions'!$B$7/100+G6*'Criteria Definitions'!$B$8/100</f>
        <v/>
      </c>
      <c r="I6" s="14">
        <f>RANK(H6,$H$2:$H$101,0)</f>
        <v/>
      </c>
      <c r="J6" s="14">
        <f>IF(H6&gt;=4,"Critical",IF(H6&gt;=3,"High",IF(H6&gt;=2,"Medium","Low")))</f>
        <v/>
      </c>
    </row>
    <row r="7">
      <c r="A7" s="16" t="inlineStr">
        <is>
          <t>V-101</t>
        </is>
      </c>
      <c r="B7" s="16" t="inlineStr">
        <is>
          <t>Pressure Relief Valve</t>
        </is>
      </c>
      <c r="C7" s="16" t="inlineStr">
        <is>
          <t>Safety</t>
        </is>
      </c>
      <c r="D7" s="16" t="n">
        <v>5</v>
      </c>
      <c r="E7" s="16" t="n">
        <v>4</v>
      </c>
      <c r="F7" s="16" t="n">
        <v>2</v>
      </c>
      <c r="G7" s="16" t="n">
        <v>2</v>
      </c>
      <c r="H7" s="17">
        <f>D7*'Criteria Definitions'!$B$5/100+E7*'Criteria Definitions'!$B$6/100+F7*'Criteria Definitions'!$B$7/100+G7*'Criteria Definitions'!$B$8/100</f>
        <v/>
      </c>
      <c r="I7" s="16">
        <f>RANK(H7,$H$2:$H$101,0)</f>
        <v/>
      </c>
      <c r="J7" s="16">
        <f>IF(H7&gt;=4,"Critical",IF(H7&gt;=3,"High",IF(H7&gt;=2,"Medium","Low")))</f>
        <v/>
      </c>
    </row>
    <row r="8">
      <c r="A8" s="14" t="inlineStr">
        <is>
          <t>M-101</t>
        </is>
      </c>
      <c r="B8" s="14" t="inlineStr">
        <is>
          <t>Conveyor Drive Motor</t>
        </is>
      </c>
      <c r="C8" s="14" t="inlineStr">
        <is>
          <t>Material Handling</t>
        </is>
      </c>
      <c r="D8" s="14" t="n">
        <v>2</v>
      </c>
      <c r="E8" s="14" t="n">
        <v>1</v>
      </c>
      <c r="F8" s="14" t="n">
        <v>4</v>
      </c>
      <c r="G8" s="14" t="n">
        <v>3</v>
      </c>
      <c r="H8" s="15">
        <f>D8*'Criteria Definitions'!$B$5/100+E8*'Criteria Definitions'!$B$6/100+F8*'Criteria Definitions'!$B$7/100+G8*'Criteria Definitions'!$B$8/100</f>
        <v/>
      </c>
      <c r="I8" s="14">
        <f>RANK(H8,$H$2:$H$101,0)</f>
        <v/>
      </c>
      <c r="J8" s="14">
        <f>IF(H8&gt;=4,"Critical",IF(H8&gt;=3,"High",IF(H8&gt;=2,"Medium","Low")))</f>
        <v/>
      </c>
    </row>
    <row r="9">
      <c r="A9" s="16" t="inlineStr">
        <is>
          <t>FT-101</t>
        </is>
      </c>
      <c r="B9" s="16" t="inlineStr">
        <is>
          <t>Flow Transmitter</t>
        </is>
      </c>
      <c r="C9" s="16" t="inlineStr">
        <is>
          <t>Instrumentation</t>
        </is>
      </c>
      <c r="D9" s="16" t="n">
        <v>1</v>
      </c>
      <c r="E9" s="16" t="n">
        <v>1</v>
      </c>
      <c r="F9" s="16" t="n">
        <v>3</v>
      </c>
      <c r="G9" s="16" t="n">
        <v>2</v>
      </c>
      <c r="H9" s="17">
        <f>D9*'Criteria Definitions'!$B$5/100+E9*'Criteria Definitions'!$B$6/100+F9*'Criteria Definitions'!$B$7/100+G9*'Criteria Definitions'!$B$8/100</f>
        <v/>
      </c>
      <c r="I9" s="16">
        <f>RANK(H9,$H$2:$H$101,0)</f>
        <v/>
      </c>
      <c r="J9" s="16">
        <f>IF(H9&gt;=4,"Critical",IF(H9&gt;=3,"High",IF(H9&gt;=2,"Medium","Low")))</f>
        <v/>
      </c>
    </row>
    <row r="10">
      <c r="A10" s="14" t="inlineStr">
        <is>
          <t>LCV-101</t>
        </is>
      </c>
      <c r="B10" s="14" t="inlineStr">
        <is>
          <t>Level Control Valve</t>
        </is>
      </c>
      <c r="C10" s="14" t="inlineStr">
        <is>
          <t>Control</t>
        </is>
      </c>
      <c r="D10" s="14" t="n">
        <v>2</v>
      </c>
      <c r="E10" s="14" t="n">
        <v>3</v>
      </c>
      <c r="F10" s="14" t="n">
        <v>4</v>
      </c>
      <c r="G10" s="14" t="n">
        <v>2</v>
      </c>
      <c r="H10" s="15">
        <f>D10*'Criteria Definitions'!$B$5/100+E10*'Criteria Definitions'!$B$6/100+F10*'Criteria Definitions'!$B$7/100+G10*'Criteria Definitions'!$B$8/100</f>
        <v/>
      </c>
      <c r="I10" s="14">
        <f>RANK(H10,$H$2:$H$101,0)</f>
        <v/>
      </c>
      <c r="J10" s="14">
        <f>IF(H10&gt;=4,"Critical",IF(H10&gt;=3,"High",IF(H10&gt;=2,"Medium","Low")))</f>
        <v/>
      </c>
    </row>
    <row r="11">
      <c r="A11" s="16" t="inlineStr">
        <is>
          <t>G-101</t>
        </is>
      </c>
      <c r="B11" s="16" t="inlineStr">
        <is>
          <t>Emergency Generator</t>
        </is>
      </c>
      <c r="C11" s="16" t="inlineStr">
        <is>
          <t>Utilities</t>
        </is>
      </c>
      <c r="D11" s="16" t="n">
        <v>5</v>
      </c>
      <c r="E11" s="16" t="n">
        <v>2</v>
      </c>
      <c r="F11" s="16" t="n">
        <v>5</v>
      </c>
      <c r="G11" s="16" t="n">
        <v>4</v>
      </c>
      <c r="H11" s="17">
        <f>D11*'Criteria Definitions'!$B$5/100+E11*'Criteria Definitions'!$B$6/100+F11*'Criteria Definitions'!$B$7/100+G11*'Criteria Definitions'!$B$8/100</f>
        <v/>
      </c>
      <c r="I11" s="16">
        <f>RANK(H11,$H$2:$H$101,0)</f>
        <v/>
      </c>
      <c r="J11" s="16">
        <f>IF(H11&gt;=4,"Critical",IF(H11&gt;=3,"High",IF(H11&gt;=2,"Medium","Low")))</f>
        <v/>
      </c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5">
        <f>IF(D12="","",D12*'Criteria Definitions'!$B$5/100+E12*'Criteria Definitions'!$B$6/100+F12*'Criteria Definitions'!$B$7/100+G12*'Criteria Definitions'!$B$8/100)</f>
        <v/>
      </c>
      <c r="I12" s="14">
        <f>IF(H12="","",RANK(H12,$H$2:$H$101,0))</f>
        <v/>
      </c>
      <c r="J12" s="14">
        <f>IF(H12="","",IF(H12&gt;=4,"Critical",IF(H12&gt;=3,"High",IF(H12&gt;=2,"Medium","Low"))))</f>
        <v/>
      </c>
    </row>
    <row r="13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7">
        <f>IF(D13="","",D13*'Criteria Definitions'!$B$5/100+E13*'Criteria Definitions'!$B$6/100+F13*'Criteria Definitions'!$B$7/100+G13*'Criteria Definitions'!$B$8/100)</f>
        <v/>
      </c>
      <c r="I13" s="16">
        <f>IF(H13="","",RANK(H13,$H$2:$H$101,0))</f>
        <v/>
      </c>
      <c r="J13" s="16">
        <f>IF(H13="","",IF(H13&gt;=4,"Critical",IF(H13&gt;=3,"High",IF(H13&gt;=2,"Medium","Low"))))</f>
        <v/>
      </c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5">
        <f>IF(D14="","",D14*'Criteria Definitions'!$B$5/100+E14*'Criteria Definitions'!$B$6/100+F14*'Criteria Definitions'!$B$7/100+G14*'Criteria Definitions'!$B$8/100)</f>
        <v/>
      </c>
      <c r="I14" s="14">
        <f>IF(H14="","",RANK(H14,$H$2:$H$101,0))</f>
        <v/>
      </c>
      <c r="J14" s="14">
        <f>IF(H14="","",IF(H14&gt;=4,"Critical",IF(H14&gt;=3,"High",IF(H14&gt;=2,"Medium","Low"))))</f>
        <v/>
      </c>
    </row>
    <row r="15">
      <c r="A15" s="16" t="inlineStr"/>
      <c r="B15" s="16" t="inlineStr"/>
      <c r="C15" s="16" t="inlineStr"/>
      <c r="D15" s="16" t="inlineStr"/>
      <c r="E15" s="16" t="inlineStr"/>
      <c r="F15" s="16" t="inlineStr"/>
      <c r="G15" s="16" t="inlineStr"/>
      <c r="H15" s="17">
        <f>IF(D15="","",D15*'Criteria Definitions'!$B$5/100+E15*'Criteria Definitions'!$B$6/100+F15*'Criteria Definitions'!$B$7/100+G15*'Criteria Definitions'!$B$8/100)</f>
        <v/>
      </c>
      <c r="I15" s="16">
        <f>IF(H15="","",RANK(H15,$H$2:$H$101,0))</f>
        <v/>
      </c>
      <c r="J15" s="16">
        <f>IF(H15="","",IF(H15&gt;=4,"Critical",IF(H15&gt;=3,"High",IF(H15&gt;=2,"Medium","Low"))))</f>
        <v/>
      </c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5">
        <f>IF(D16="","",D16*'Criteria Definitions'!$B$5/100+E16*'Criteria Definitions'!$B$6/100+F16*'Criteria Definitions'!$B$7/100+G16*'Criteria Definitions'!$B$8/100)</f>
        <v/>
      </c>
      <c r="I16" s="14">
        <f>IF(H16="","",RANK(H16,$H$2:$H$101,0))</f>
        <v/>
      </c>
      <c r="J16" s="14">
        <f>IF(H16="","",IF(H16&gt;=4,"Critical",IF(H16&gt;=3,"High",IF(H16&gt;=2,"Medium","Low"))))</f>
        <v/>
      </c>
    </row>
    <row r="17">
      <c r="A17" s="16" t="inlineStr"/>
      <c r="B17" s="16" t="inlineStr"/>
      <c r="C17" s="16" t="inlineStr"/>
      <c r="D17" s="16" t="inlineStr"/>
      <c r="E17" s="16" t="inlineStr"/>
      <c r="F17" s="16" t="inlineStr"/>
      <c r="G17" s="16" t="inlineStr"/>
      <c r="H17" s="17">
        <f>IF(D17="","",D17*'Criteria Definitions'!$B$5/100+E17*'Criteria Definitions'!$B$6/100+F17*'Criteria Definitions'!$B$7/100+G17*'Criteria Definitions'!$B$8/100)</f>
        <v/>
      </c>
      <c r="I17" s="16">
        <f>IF(H17="","",RANK(H17,$H$2:$H$101,0))</f>
        <v/>
      </c>
      <c r="J17" s="16">
        <f>IF(H17="","",IF(H17&gt;=4,"Critical",IF(H17&gt;=3,"High",IF(H17&gt;=2,"Medium","Low"))))</f>
        <v/>
      </c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5">
        <f>IF(D18="","",D18*'Criteria Definitions'!$B$5/100+E18*'Criteria Definitions'!$B$6/100+F18*'Criteria Definitions'!$B$7/100+G18*'Criteria Definitions'!$B$8/100)</f>
        <v/>
      </c>
      <c r="I18" s="14">
        <f>IF(H18="","",RANK(H18,$H$2:$H$101,0))</f>
        <v/>
      </c>
      <c r="J18" s="14">
        <f>IF(H18="","",IF(H18&gt;=4,"Critical",IF(H18&gt;=3,"High",IF(H18&gt;=2,"Medium","Low"))))</f>
        <v/>
      </c>
    </row>
    <row r="19">
      <c r="A19" s="16" t="inlineStr"/>
      <c r="B19" s="16" t="inlineStr"/>
      <c r="C19" s="16" t="inlineStr"/>
      <c r="D19" s="16" t="inlineStr"/>
      <c r="E19" s="16" t="inlineStr"/>
      <c r="F19" s="16" t="inlineStr"/>
      <c r="G19" s="16" t="inlineStr"/>
      <c r="H19" s="17">
        <f>IF(D19="","",D19*'Criteria Definitions'!$B$5/100+E19*'Criteria Definitions'!$B$6/100+F19*'Criteria Definitions'!$B$7/100+G19*'Criteria Definitions'!$B$8/100)</f>
        <v/>
      </c>
      <c r="I19" s="16">
        <f>IF(H19="","",RANK(H19,$H$2:$H$101,0))</f>
        <v/>
      </c>
      <c r="J19" s="16">
        <f>IF(H19="","",IF(H19&gt;=4,"Critical",IF(H19&gt;=3,"High",IF(H19&gt;=2,"Medium","Low"))))</f>
        <v/>
      </c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5">
        <f>IF(D20="","",D20*'Criteria Definitions'!$B$5/100+E20*'Criteria Definitions'!$B$6/100+F20*'Criteria Definitions'!$B$7/100+G20*'Criteria Definitions'!$B$8/100)</f>
        <v/>
      </c>
      <c r="I20" s="14">
        <f>IF(H20="","",RANK(H20,$H$2:$H$101,0))</f>
        <v/>
      </c>
      <c r="J20" s="14">
        <f>IF(H20="","",IF(H20&gt;=4,"Critical",IF(H20&gt;=3,"High",IF(H20&gt;=2,"Medium","Low"))))</f>
        <v/>
      </c>
    </row>
    <row r="21">
      <c r="A21" s="16" t="inlineStr"/>
      <c r="B21" s="16" t="inlineStr"/>
      <c r="C21" s="16" t="inlineStr"/>
      <c r="D21" s="16" t="inlineStr"/>
      <c r="E21" s="16" t="inlineStr"/>
      <c r="F21" s="16" t="inlineStr"/>
      <c r="G21" s="16" t="inlineStr"/>
      <c r="H21" s="17">
        <f>IF(D21="","",D21*'Criteria Definitions'!$B$5/100+E21*'Criteria Definitions'!$B$6/100+F21*'Criteria Definitions'!$B$7/100+G21*'Criteria Definitions'!$B$8/100)</f>
        <v/>
      </c>
      <c r="I21" s="16">
        <f>IF(H21="","",RANK(H21,$H$2:$H$101,0))</f>
        <v/>
      </c>
      <c r="J21" s="16">
        <f>IF(H21="","",IF(H21&gt;=4,"Critical",IF(H21&gt;=3,"High",IF(H21&gt;=2,"Medium","Low"))))</f>
        <v/>
      </c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5">
        <f>IF(D22="","",D22*'Criteria Definitions'!$B$5/100+E22*'Criteria Definitions'!$B$6/100+F22*'Criteria Definitions'!$B$7/100+G22*'Criteria Definitions'!$B$8/100)</f>
        <v/>
      </c>
      <c r="I22" s="14">
        <f>IF(H22="","",RANK(H22,$H$2:$H$101,0))</f>
        <v/>
      </c>
      <c r="J22" s="14">
        <f>IF(H22="","",IF(H22&gt;=4,"Critical",IF(H22&gt;=3,"High",IF(H22&gt;=2,"Medium","Low"))))</f>
        <v/>
      </c>
    </row>
    <row r="23">
      <c r="A23" s="16" t="inlineStr"/>
      <c r="B23" s="16" t="inlineStr"/>
      <c r="C23" s="16" t="inlineStr"/>
      <c r="D23" s="16" t="inlineStr"/>
      <c r="E23" s="16" t="inlineStr"/>
      <c r="F23" s="16" t="inlineStr"/>
      <c r="G23" s="16" t="inlineStr"/>
      <c r="H23" s="17">
        <f>IF(D23="","",D23*'Criteria Definitions'!$B$5/100+E23*'Criteria Definitions'!$B$6/100+F23*'Criteria Definitions'!$B$7/100+G23*'Criteria Definitions'!$B$8/100)</f>
        <v/>
      </c>
      <c r="I23" s="16">
        <f>IF(H23="","",RANK(H23,$H$2:$H$101,0))</f>
        <v/>
      </c>
      <c r="J23" s="16">
        <f>IF(H23="","",IF(H23&gt;=4,"Critical",IF(H23&gt;=3,"High",IF(H23&gt;=2,"Medium","Low"))))</f>
        <v/>
      </c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5">
        <f>IF(D24="","",D24*'Criteria Definitions'!$B$5/100+E24*'Criteria Definitions'!$B$6/100+F24*'Criteria Definitions'!$B$7/100+G24*'Criteria Definitions'!$B$8/100)</f>
        <v/>
      </c>
      <c r="I24" s="14">
        <f>IF(H24="","",RANK(H24,$H$2:$H$101,0))</f>
        <v/>
      </c>
      <c r="J24" s="14">
        <f>IF(H24="","",IF(H24&gt;=4,"Critical",IF(H24&gt;=3,"High",IF(H24&gt;=2,"Medium","Low"))))</f>
        <v/>
      </c>
    </row>
    <row r="25">
      <c r="A25" s="16" t="inlineStr"/>
      <c r="B25" s="16" t="inlineStr"/>
      <c r="C25" s="16" t="inlineStr"/>
      <c r="D25" s="16" t="inlineStr"/>
      <c r="E25" s="16" t="inlineStr"/>
      <c r="F25" s="16" t="inlineStr"/>
      <c r="G25" s="16" t="inlineStr"/>
      <c r="H25" s="17">
        <f>IF(D25="","",D25*'Criteria Definitions'!$B$5/100+E25*'Criteria Definitions'!$B$6/100+F25*'Criteria Definitions'!$B$7/100+G25*'Criteria Definitions'!$B$8/100)</f>
        <v/>
      </c>
      <c r="I25" s="16">
        <f>IF(H25="","",RANK(H25,$H$2:$H$101,0))</f>
        <v/>
      </c>
      <c r="J25" s="16">
        <f>IF(H25="","",IF(H25&gt;=4,"Critical",IF(H25&gt;=3,"High",IF(H25&gt;=2,"Medium","Low"))))</f>
        <v/>
      </c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5">
        <f>IF(D26="","",D26*'Criteria Definitions'!$B$5/100+E26*'Criteria Definitions'!$B$6/100+F26*'Criteria Definitions'!$B$7/100+G26*'Criteria Definitions'!$B$8/100)</f>
        <v/>
      </c>
      <c r="I26" s="14">
        <f>IF(H26="","",RANK(H26,$H$2:$H$101,0))</f>
        <v/>
      </c>
      <c r="J26" s="14">
        <f>IF(H26="","",IF(H26&gt;=4,"Critical",IF(H26&gt;=3,"High",IF(H26&gt;=2,"Medium","Low"))))</f>
        <v/>
      </c>
    </row>
    <row r="27">
      <c r="A27" s="16" t="inlineStr"/>
      <c r="B27" s="16" t="inlineStr"/>
      <c r="C27" s="16" t="inlineStr"/>
      <c r="D27" s="16" t="inlineStr"/>
      <c r="E27" s="16" t="inlineStr"/>
      <c r="F27" s="16" t="inlineStr"/>
      <c r="G27" s="16" t="inlineStr"/>
      <c r="H27" s="17">
        <f>IF(D27="","",D27*'Criteria Definitions'!$B$5/100+E27*'Criteria Definitions'!$B$6/100+F27*'Criteria Definitions'!$B$7/100+G27*'Criteria Definitions'!$B$8/100)</f>
        <v/>
      </c>
      <c r="I27" s="16">
        <f>IF(H27="","",RANK(H27,$H$2:$H$101,0))</f>
        <v/>
      </c>
      <c r="J27" s="16">
        <f>IF(H27="","",IF(H27&gt;=4,"Critical",IF(H27&gt;=3,"High",IF(H27&gt;=2,"Medium","Low"))))</f>
        <v/>
      </c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5">
        <f>IF(D28="","",D28*'Criteria Definitions'!$B$5/100+E28*'Criteria Definitions'!$B$6/100+F28*'Criteria Definitions'!$B$7/100+G28*'Criteria Definitions'!$B$8/100)</f>
        <v/>
      </c>
      <c r="I28" s="14">
        <f>IF(H28="","",RANK(H28,$H$2:$H$101,0))</f>
        <v/>
      </c>
      <c r="J28" s="14">
        <f>IF(H28="","",IF(H28&gt;=4,"Critical",IF(H28&gt;=3,"High",IF(H28&gt;=2,"Medium","Low"))))</f>
        <v/>
      </c>
    </row>
    <row r="29">
      <c r="A29" s="16" t="inlineStr"/>
      <c r="B29" s="16" t="inlineStr"/>
      <c r="C29" s="16" t="inlineStr"/>
      <c r="D29" s="16" t="inlineStr"/>
      <c r="E29" s="16" t="inlineStr"/>
      <c r="F29" s="16" t="inlineStr"/>
      <c r="G29" s="16" t="inlineStr"/>
      <c r="H29" s="17">
        <f>IF(D29="","",D29*'Criteria Definitions'!$B$5/100+E29*'Criteria Definitions'!$B$6/100+F29*'Criteria Definitions'!$B$7/100+G29*'Criteria Definitions'!$B$8/100)</f>
        <v/>
      </c>
      <c r="I29" s="16">
        <f>IF(H29="","",RANK(H29,$H$2:$H$101,0))</f>
        <v/>
      </c>
      <c r="J29" s="16">
        <f>IF(H29="","",IF(H29&gt;=4,"Critical",IF(H29&gt;=3,"High",IF(H29&gt;=2,"Medium","Low"))))</f>
        <v/>
      </c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5">
        <f>IF(D30="","",D30*'Criteria Definitions'!$B$5/100+E30*'Criteria Definitions'!$B$6/100+F30*'Criteria Definitions'!$B$7/100+G30*'Criteria Definitions'!$B$8/100)</f>
        <v/>
      </c>
      <c r="I30" s="14">
        <f>IF(H30="","",RANK(H30,$H$2:$H$101,0))</f>
        <v/>
      </c>
      <c r="J30" s="14">
        <f>IF(H30="","",IF(H30&gt;=4,"Critical",IF(H30&gt;=3,"High",IF(H30&gt;=2,"Medium","Low"))))</f>
        <v/>
      </c>
    </row>
    <row r="31">
      <c r="A31" s="16" t="inlineStr"/>
      <c r="B31" s="16" t="inlineStr"/>
      <c r="C31" s="16" t="inlineStr"/>
      <c r="D31" s="16" t="inlineStr"/>
      <c r="E31" s="16" t="inlineStr"/>
      <c r="F31" s="16" t="inlineStr"/>
      <c r="G31" s="16" t="inlineStr"/>
      <c r="H31" s="17">
        <f>IF(D31="","",D31*'Criteria Definitions'!$B$5/100+E31*'Criteria Definitions'!$B$6/100+F31*'Criteria Definitions'!$B$7/100+G31*'Criteria Definitions'!$B$8/100)</f>
        <v/>
      </c>
      <c r="I31" s="16">
        <f>IF(H31="","",RANK(H31,$H$2:$H$101,0))</f>
        <v/>
      </c>
      <c r="J31" s="16">
        <f>IF(H31="","",IF(H31&gt;=4,"Critical",IF(H31&gt;=3,"High",IF(H31&gt;=2,"Medium","Low"))))</f>
        <v/>
      </c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5">
        <f>IF(D32="","",D32*'Criteria Definitions'!$B$5/100+E32*'Criteria Definitions'!$B$6/100+F32*'Criteria Definitions'!$B$7/100+G32*'Criteria Definitions'!$B$8/100)</f>
        <v/>
      </c>
      <c r="I32" s="14">
        <f>IF(H32="","",RANK(H32,$H$2:$H$101,0))</f>
        <v/>
      </c>
      <c r="J32" s="14">
        <f>IF(H32="","",IF(H32&gt;=4,"Critical",IF(H32&gt;=3,"High",IF(H32&gt;=2,"Medium","Low"))))</f>
        <v/>
      </c>
    </row>
    <row r="33">
      <c r="A33" s="16" t="inlineStr"/>
      <c r="B33" s="16" t="inlineStr"/>
      <c r="C33" s="16" t="inlineStr"/>
      <c r="D33" s="16" t="inlineStr"/>
      <c r="E33" s="16" t="inlineStr"/>
      <c r="F33" s="16" t="inlineStr"/>
      <c r="G33" s="16" t="inlineStr"/>
      <c r="H33" s="17">
        <f>IF(D33="","",D33*'Criteria Definitions'!$B$5/100+E33*'Criteria Definitions'!$B$6/100+F33*'Criteria Definitions'!$B$7/100+G33*'Criteria Definitions'!$B$8/100)</f>
        <v/>
      </c>
      <c r="I33" s="16">
        <f>IF(H33="","",RANK(H33,$H$2:$H$101,0))</f>
        <v/>
      </c>
      <c r="J33" s="16">
        <f>IF(H33="","",IF(H33&gt;=4,"Critical",IF(H33&gt;=3,"High",IF(H33&gt;=2,"Medium","Low"))))</f>
        <v/>
      </c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5">
        <f>IF(D34="","",D34*'Criteria Definitions'!$B$5/100+E34*'Criteria Definitions'!$B$6/100+F34*'Criteria Definitions'!$B$7/100+G34*'Criteria Definitions'!$B$8/100)</f>
        <v/>
      </c>
      <c r="I34" s="14">
        <f>IF(H34="","",RANK(H34,$H$2:$H$101,0))</f>
        <v/>
      </c>
      <c r="J34" s="14">
        <f>IF(H34="","",IF(H34&gt;=4,"Critical",IF(H34&gt;=3,"High",IF(H34&gt;=2,"Medium","Low"))))</f>
        <v/>
      </c>
    </row>
    <row r="35">
      <c r="A35" s="16" t="inlineStr"/>
      <c r="B35" s="16" t="inlineStr"/>
      <c r="C35" s="16" t="inlineStr"/>
      <c r="D35" s="16" t="inlineStr"/>
      <c r="E35" s="16" t="inlineStr"/>
      <c r="F35" s="16" t="inlineStr"/>
      <c r="G35" s="16" t="inlineStr"/>
      <c r="H35" s="17">
        <f>IF(D35="","",D35*'Criteria Definitions'!$B$5/100+E35*'Criteria Definitions'!$B$6/100+F35*'Criteria Definitions'!$B$7/100+G35*'Criteria Definitions'!$B$8/100)</f>
        <v/>
      </c>
      <c r="I35" s="16">
        <f>IF(H35="","",RANK(H35,$H$2:$H$101,0))</f>
        <v/>
      </c>
      <c r="J35" s="16">
        <f>IF(H35="","",IF(H35&gt;=4,"Critical",IF(H35&gt;=3,"High",IF(H35&gt;=2,"Medium","Low"))))</f>
        <v/>
      </c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5">
        <f>IF(D36="","",D36*'Criteria Definitions'!$B$5/100+E36*'Criteria Definitions'!$B$6/100+F36*'Criteria Definitions'!$B$7/100+G36*'Criteria Definitions'!$B$8/100)</f>
        <v/>
      </c>
      <c r="I36" s="14">
        <f>IF(H36="","",RANK(H36,$H$2:$H$101,0))</f>
        <v/>
      </c>
      <c r="J36" s="14">
        <f>IF(H36="","",IF(H36&gt;=4,"Critical",IF(H36&gt;=3,"High",IF(H36&gt;=2,"Medium","Low"))))</f>
        <v/>
      </c>
    </row>
    <row r="37">
      <c r="A37" s="16" t="inlineStr"/>
      <c r="B37" s="16" t="inlineStr"/>
      <c r="C37" s="16" t="inlineStr"/>
      <c r="D37" s="16" t="inlineStr"/>
      <c r="E37" s="16" t="inlineStr"/>
      <c r="F37" s="16" t="inlineStr"/>
      <c r="G37" s="16" t="inlineStr"/>
      <c r="H37" s="17">
        <f>IF(D37="","",D37*'Criteria Definitions'!$B$5/100+E37*'Criteria Definitions'!$B$6/100+F37*'Criteria Definitions'!$B$7/100+G37*'Criteria Definitions'!$B$8/100)</f>
        <v/>
      </c>
      <c r="I37" s="16">
        <f>IF(H37="","",RANK(H37,$H$2:$H$101,0))</f>
        <v/>
      </c>
      <c r="J37" s="16">
        <f>IF(H37="","",IF(H37&gt;=4,"Critical",IF(H37&gt;=3,"High",IF(H37&gt;=2,"Medium","Low"))))</f>
        <v/>
      </c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5">
        <f>IF(D38="","",D38*'Criteria Definitions'!$B$5/100+E38*'Criteria Definitions'!$B$6/100+F38*'Criteria Definitions'!$B$7/100+G38*'Criteria Definitions'!$B$8/100)</f>
        <v/>
      </c>
      <c r="I38" s="14">
        <f>IF(H38="","",RANK(H38,$H$2:$H$101,0))</f>
        <v/>
      </c>
      <c r="J38" s="14">
        <f>IF(H38="","",IF(H38&gt;=4,"Critical",IF(H38&gt;=3,"High",IF(H38&gt;=2,"Medium","Low"))))</f>
        <v/>
      </c>
    </row>
    <row r="39">
      <c r="A39" s="16" t="inlineStr"/>
      <c r="B39" s="16" t="inlineStr"/>
      <c r="C39" s="16" t="inlineStr"/>
      <c r="D39" s="16" t="inlineStr"/>
      <c r="E39" s="16" t="inlineStr"/>
      <c r="F39" s="16" t="inlineStr"/>
      <c r="G39" s="16" t="inlineStr"/>
      <c r="H39" s="17">
        <f>IF(D39="","",D39*'Criteria Definitions'!$B$5/100+E39*'Criteria Definitions'!$B$6/100+F39*'Criteria Definitions'!$B$7/100+G39*'Criteria Definitions'!$B$8/100)</f>
        <v/>
      </c>
      <c r="I39" s="16">
        <f>IF(H39="","",RANK(H39,$H$2:$H$101,0))</f>
        <v/>
      </c>
      <c r="J39" s="16">
        <f>IF(H39="","",IF(H39&gt;=4,"Critical",IF(H39&gt;=3,"High",IF(H39&gt;=2,"Medium","Low"))))</f>
        <v/>
      </c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5">
        <f>IF(D40="","",D40*'Criteria Definitions'!$B$5/100+E40*'Criteria Definitions'!$B$6/100+F40*'Criteria Definitions'!$B$7/100+G40*'Criteria Definitions'!$B$8/100)</f>
        <v/>
      </c>
      <c r="I40" s="14">
        <f>IF(H40="","",RANK(H40,$H$2:$H$101,0))</f>
        <v/>
      </c>
      <c r="J40" s="14">
        <f>IF(H40="","",IF(H40&gt;=4,"Critical",IF(H40&gt;=3,"High",IF(H40&gt;=2,"Medium","Low"))))</f>
        <v/>
      </c>
    </row>
    <row r="41">
      <c r="A41" s="16" t="inlineStr"/>
      <c r="B41" s="16" t="inlineStr"/>
      <c r="C41" s="16" t="inlineStr"/>
      <c r="D41" s="16" t="inlineStr"/>
      <c r="E41" s="16" t="inlineStr"/>
      <c r="F41" s="16" t="inlineStr"/>
      <c r="G41" s="16" t="inlineStr"/>
      <c r="H41" s="17">
        <f>IF(D41="","",D41*'Criteria Definitions'!$B$5/100+E41*'Criteria Definitions'!$B$6/100+F41*'Criteria Definitions'!$B$7/100+G41*'Criteria Definitions'!$B$8/100)</f>
        <v/>
      </c>
      <c r="I41" s="16">
        <f>IF(H41="","",RANK(H41,$H$2:$H$101,0))</f>
        <v/>
      </c>
      <c r="J41" s="16">
        <f>IF(H41="","",IF(H41&gt;=4,"Critical",IF(H41&gt;=3,"High",IF(H41&gt;=2,"Medium","Low"))))</f>
        <v/>
      </c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5">
        <f>IF(D42="","",D42*'Criteria Definitions'!$B$5/100+E42*'Criteria Definitions'!$B$6/100+F42*'Criteria Definitions'!$B$7/100+G42*'Criteria Definitions'!$B$8/100)</f>
        <v/>
      </c>
      <c r="I42" s="14">
        <f>IF(H42="","",RANK(H42,$H$2:$H$101,0))</f>
        <v/>
      </c>
      <c r="J42" s="14">
        <f>IF(H42="","",IF(H42&gt;=4,"Critical",IF(H42&gt;=3,"High",IF(H42&gt;=2,"Medium","Low"))))</f>
        <v/>
      </c>
    </row>
    <row r="43">
      <c r="A43" s="16" t="inlineStr"/>
      <c r="B43" s="16" t="inlineStr"/>
      <c r="C43" s="16" t="inlineStr"/>
      <c r="D43" s="16" t="inlineStr"/>
      <c r="E43" s="16" t="inlineStr"/>
      <c r="F43" s="16" t="inlineStr"/>
      <c r="G43" s="16" t="inlineStr"/>
      <c r="H43" s="17">
        <f>IF(D43="","",D43*'Criteria Definitions'!$B$5/100+E43*'Criteria Definitions'!$B$6/100+F43*'Criteria Definitions'!$B$7/100+G43*'Criteria Definitions'!$B$8/100)</f>
        <v/>
      </c>
      <c r="I43" s="16">
        <f>IF(H43="","",RANK(H43,$H$2:$H$101,0))</f>
        <v/>
      </c>
      <c r="J43" s="16">
        <f>IF(H43="","",IF(H43&gt;=4,"Critical",IF(H43&gt;=3,"High",IF(H43&gt;=2,"Medium","Low"))))</f>
        <v/>
      </c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5">
        <f>IF(D44="","",D44*'Criteria Definitions'!$B$5/100+E44*'Criteria Definitions'!$B$6/100+F44*'Criteria Definitions'!$B$7/100+G44*'Criteria Definitions'!$B$8/100)</f>
        <v/>
      </c>
      <c r="I44" s="14">
        <f>IF(H44="","",RANK(H44,$H$2:$H$101,0))</f>
        <v/>
      </c>
      <c r="J44" s="14">
        <f>IF(H44="","",IF(H44&gt;=4,"Critical",IF(H44&gt;=3,"High",IF(H44&gt;=2,"Medium","Low"))))</f>
        <v/>
      </c>
    </row>
    <row r="45">
      <c r="A45" s="16" t="inlineStr"/>
      <c r="B45" s="16" t="inlineStr"/>
      <c r="C45" s="16" t="inlineStr"/>
      <c r="D45" s="16" t="inlineStr"/>
      <c r="E45" s="16" t="inlineStr"/>
      <c r="F45" s="16" t="inlineStr"/>
      <c r="G45" s="16" t="inlineStr"/>
      <c r="H45" s="17">
        <f>IF(D45="","",D45*'Criteria Definitions'!$B$5/100+E45*'Criteria Definitions'!$B$6/100+F45*'Criteria Definitions'!$B$7/100+G45*'Criteria Definitions'!$B$8/100)</f>
        <v/>
      </c>
      <c r="I45" s="16">
        <f>IF(H45="","",RANK(H45,$H$2:$H$101,0))</f>
        <v/>
      </c>
      <c r="J45" s="16">
        <f>IF(H45="","",IF(H45&gt;=4,"Critical",IF(H45&gt;=3,"High",IF(H45&gt;=2,"Medium","Low"))))</f>
        <v/>
      </c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5">
        <f>IF(D46="","",D46*'Criteria Definitions'!$B$5/100+E46*'Criteria Definitions'!$B$6/100+F46*'Criteria Definitions'!$B$7/100+G46*'Criteria Definitions'!$B$8/100)</f>
        <v/>
      </c>
      <c r="I46" s="14">
        <f>IF(H46="","",RANK(H46,$H$2:$H$101,0))</f>
        <v/>
      </c>
      <c r="J46" s="14">
        <f>IF(H46="","",IF(H46&gt;=4,"Critical",IF(H46&gt;=3,"High",IF(H46&gt;=2,"Medium","Low"))))</f>
        <v/>
      </c>
    </row>
    <row r="47">
      <c r="A47" s="16" t="inlineStr"/>
      <c r="B47" s="16" t="inlineStr"/>
      <c r="C47" s="16" t="inlineStr"/>
      <c r="D47" s="16" t="inlineStr"/>
      <c r="E47" s="16" t="inlineStr"/>
      <c r="F47" s="16" t="inlineStr"/>
      <c r="G47" s="16" t="inlineStr"/>
      <c r="H47" s="17">
        <f>IF(D47="","",D47*'Criteria Definitions'!$B$5/100+E47*'Criteria Definitions'!$B$6/100+F47*'Criteria Definitions'!$B$7/100+G47*'Criteria Definitions'!$B$8/100)</f>
        <v/>
      </c>
      <c r="I47" s="16">
        <f>IF(H47="","",RANK(H47,$H$2:$H$101,0))</f>
        <v/>
      </c>
      <c r="J47" s="16">
        <f>IF(H47="","",IF(H47&gt;=4,"Critical",IF(H47&gt;=3,"High",IF(H47&gt;=2,"Medium","Low"))))</f>
        <v/>
      </c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5">
        <f>IF(D48="","",D48*'Criteria Definitions'!$B$5/100+E48*'Criteria Definitions'!$B$6/100+F48*'Criteria Definitions'!$B$7/100+G48*'Criteria Definitions'!$B$8/100)</f>
        <v/>
      </c>
      <c r="I48" s="14">
        <f>IF(H48="","",RANK(H48,$H$2:$H$101,0))</f>
        <v/>
      </c>
      <c r="J48" s="14">
        <f>IF(H48="","",IF(H48&gt;=4,"Critical",IF(H48&gt;=3,"High",IF(H48&gt;=2,"Medium","Low"))))</f>
        <v/>
      </c>
    </row>
    <row r="49">
      <c r="A49" s="16" t="inlineStr"/>
      <c r="B49" s="16" t="inlineStr"/>
      <c r="C49" s="16" t="inlineStr"/>
      <c r="D49" s="16" t="inlineStr"/>
      <c r="E49" s="16" t="inlineStr"/>
      <c r="F49" s="16" t="inlineStr"/>
      <c r="G49" s="16" t="inlineStr"/>
      <c r="H49" s="17">
        <f>IF(D49="","",D49*'Criteria Definitions'!$B$5/100+E49*'Criteria Definitions'!$B$6/100+F49*'Criteria Definitions'!$B$7/100+G49*'Criteria Definitions'!$B$8/100)</f>
        <v/>
      </c>
      <c r="I49" s="16">
        <f>IF(H49="","",RANK(H49,$H$2:$H$101,0))</f>
        <v/>
      </c>
      <c r="J49" s="16">
        <f>IF(H49="","",IF(H49&gt;=4,"Critical",IF(H49&gt;=3,"High",IF(H49&gt;=2,"Medium","Low"))))</f>
        <v/>
      </c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5">
        <f>IF(D50="","",D50*'Criteria Definitions'!$B$5/100+E50*'Criteria Definitions'!$B$6/100+F50*'Criteria Definitions'!$B$7/100+G50*'Criteria Definitions'!$B$8/100)</f>
        <v/>
      </c>
      <c r="I50" s="14">
        <f>IF(H50="","",RANK(H50,$H$2:$H$101,0))</f>
        <v/>
      </c>
      <c r="J50" s="14">
        <f>IF(H50="","",IF(H50&gt;=4,"Critical",IF(H50&gt;=3,"High",IF(H50&gt;=2,"Medium","Low"))))</f>
        <v/>
      </c>
    </row>
    <row r="51">
      <c r="A51" s="16" t="inlineStr"/>
      <c r="B51" s="16" t="inlineStr"/>
      <c r="C51" s="16" t="inlineStr"/>
      <c r="D51" s="16" t="inlineStr"/>
      <c r="E51" s="16" t="inlineStr"/>
      <c r="F51" s="16" t="inlineStr"/>
      <c r="G51" s="16" t="inlineStr"/>
      <c r="H51" s="17">
        <f>IF(D51="","",D51*'Criteria Definitions'!$B$5/100+E51*'Criteria Definitions'!$B$6/100+F51*'Criteria Definitions'!$B$7/100+G51*'Criteria Definitions'!$B$8/100)</f>
        <v/>
      </c>
      <c r="I51" s="16">
        <f>IF(H51="","",RANK(H51,$H$2:$H$101,0))</f>
        <v/>
      </c>
      <c r="J51" s="16">
        <f>IF(H51="","",IF(H51&gt;=4,"Critical",IF(H51&gt;=3,"High",IF(H51&gt;=2,"Medium","Low"))))</f>
        <v/>
      </c>
    </row>
    <row r="55">
      <c r="A55" s="4" t="inlineStr">
        <is>
          <t>© 2026 Reliability HQ | reliabilityhq.com</t>
        </is>
      </c>
    </row>
  </sheetData>
  <mergeCells count="1">
    <mergeCell ref="A55:J55"/>
  </mergeCells>
  <conditionalFormatting sqref="J2:J1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1">
    <dataValidation sqref="D2:G100" showDropDown="0" showInputMessage="0" showErrorMessage="0" allowBlank="0" errorTitle="Invalid Score" error="Score must be between 1 and 5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  <col width="12" customWidth="1" min="4" max="4"/>
    <col width="12" customWidth="1" min="5" max="5"/>
  </cols>
  <sheetData>
    <row r="1">
      <c r="A1" s="1" t="inlineStr">
        <is>
          <t>CRITICALITY ANALYSIS DASHBOARD</t>
        </is>
      </c>
    </row>
    <row r="3">
      <c r="A3" s="3" t="inlineStr">
        <is>
          <t>SUMMARY</t>
        </is>
      </c>
    </row>
    <row r="4">
      <c r="A4" s="10" t="inlineStr">
        <is>
          <t>Total Equipment Analysed:</t>
        </is>
      </c>
      <c r="B4">
        <f>COUNTA('Equipment Input'!A2:A100)</f>
        <v/>
      </c>
    </row>
    <row r="5">
      <c r="A5" s="10" t="inlineStr">
        <is>
          <t>Critical Assets:</t>
        </is>
      </c>
      <c r="B5">
        <f>COUNTIF('Equipment Input'!J2:J100,"Critical")</f>
        <v/>
      </c>
    </row>
    <row r="6">
      <c r="A6" s="10" t="inlineStr">
        <is>
          <t>High Priority Assets:</t>
        </is>
      </c>
      <c r="B6">
        <f>COUNTIF('Equipment Input'!J2:J100,"High")</f>
        <v/>
      </c>
    </row>
    <row r="7">
      <c r="A7" s="10" t="inlineStr">
        <is>
          <t>Medium Priority Assets:</t>
        </is>
      </c>
      <c r="B7">
        <f>COUNTIF('Equipment Input'!J2:J100,"Medium")</f>
        <v/>
      </c>
    </row>
    <row r="8">
      <c r="A8" s="10" t="inlineStr">
        <is>
          <t>Low Priority Assets:</t>
        </is>
      </c>
      <c r="B8">
        <f>COUNTIF('Equipment Input'!J2:J100,"Low")</f>
        <v/>
      </c>
    </row>
    <row r="9">
      <c r="A9" s="10" t="inlineStr">
        <is>
          <t>Average Criticality Score:</t>
        </is>
      </c>
      <c r="B9" s="18">
        <f>AVERAGE('Equipment Input'!H2:H100)</f>
        <v/>
      </c>
    </row>
    <row r="12">
      <c r="A12" s="3" t="inlineStr">
        <is>
          <t>TOP 10 MOST CRITICAL ASSETS</t>
        </is>
      </c>
    </row>
    <row r="13">
      <c r="A13" s="13" t="inlineStr">
        <is>
          <t>Rank</t>
        </is>
      </c>
      <c r="B13" s="13" t="inlineStr">
        <is>
          <t>Equipment Tag</t>
        </is>
      </c>
      <c r="C13" s="13" t="inlineStr">
        <is>
          <t>Equipment Name</t>
        </is>
      </c>
      <c r="D13" s="13" t="inlineStr">
        <is>
          <t>Score</t>
        </is>
      </c>
      <c r="E13" s="13" t="inlineStr">
        <is>
          <t>Criticality</t>
        </is>
      </c>
    </row>
    <row r="14">
      <c r="A14" s="19" t="n">
        <v>1</v>
      </c>
      <c r="B14" s="19">
        <f>IFERROR(INDEX('Equipment Input'!A$2:A$100,MATCH(1,'Equipment Input'!I$2:I$100,0)),"")</f>
        <v/>
      </c>
      <c r="C14" s="19">
        <f>IFERROR(INDEX('Equipment Input'!B$2:B$100,MATCH(1,'Equipment Input'!I$2:I$100,0)),"")</f>
        <v/>
      </c>
      <c r="D14" s="20">
        <f>IFERROR(INDEX('Equipment Input'!H$2:H$100,MATCH(1,'Equipment Input'!I$2:I$100,0)),"")</f>
        <v/>
      </c>
      <c r="E14" s="19">
        <f>IFERROR(INDEX('Equipment Input'!J$2:J$100,MATCH(1,'Equipment Input'!I$2:I$100,0)),"")</f>
        <v/>
      </c>
    </row>
    <row r="15">
      <c r="A15" s="8" t="n">
        <v>2</v>
      </c>
      <c r="B15" s="8">
        <f>IFERROR(INDEX('Equipment Input'!A$2:A$100,MATCH(2,'Equipment Input'!I$2:I$100,0)),"")</f>
        <v/>
      </c>
      <c r="C15" s="8">
        <f>IFERROR(INDEX('Equipment Input'!B$2:B$100,MATCH(2,'Equipment Input'!I$2:I$100,0)),"")</f>
        <v/>
      </c>
      <c r="D15" s="21">
        <f>IFERROR(INDEX('Equipment Input'!H$2:H$100,MATCH(2,'Equipment Input'!I$2:I$100,0)),"")</f>
        <v/>
      </c>
      <c r="E15" s="8">
        <f>IFERROR(INDEX('Equipment Input'!J$2:J$100,MATCH(2,'Equipment Input'!I$2:I$100,0)),"")</f>
        <v/>
      </c>
    </row>
    <row r="16">
      <c r="A16" s="19" t="n">
        <v>3</v>
      </c>
      <c r="B16" s="19">
        <f>IFERROR(INDEX('Equipment Input'!A$2:A$100,MATCH(3,'Equipment Input'!I$2:I$100,0)),"")</f>
        <v/>
      </c>
      <c r="C16" s="19">
        <f>IFERROR(INDEX('Equipment Input'!B$2:B$100,MATCH(3,'Equipment Input'!I$2:I$100,0)),"")</f>
        <v/>
      </c>
      <c r="D16" s="20">
        <f>IFERROR(INDEX('Equipment Input'!H$2:H$100,MATCH(3,'Equipment Input'!I$2:I$100,0)),"")</f>
        <v/>
      </c>
      <c r="E16" s="19">
        <f>IFERROR(INDEX('Equipment Input'!J$2:J$100,MATCH(3,'Equipment Input'!I$2:I$100,0)),"")</f>
        <v/>
      </c>
    </row>
    <row r="17">
      <c r="A17" s="8" t="n">
        <v>4</v>
      </c>
      <c r="B17" s="8">
        <f>IFERROR(INDEX('Equipment Input'!A$2:A$100,MATCH(4,'Equipment Input'!I$2:I$100,0)),"")</f>
        <v/>
      </c>
      <c r="C17" s="8">
        <f>IFERROR(INDEX('Equipment Input'!B$2:B$100,MATCH(4,'Equipment Input'!I$2:I$100,0)),"")</f>
        <v/>
      </c>
      <c r="D17" s="21">
        <f>IFERROR(INDEX('Equipment Input'!H$2:H$100,MATCH(4,'Equipment Input'!I$2:I$100,0)),"")</f>
        <v/>
      </c>
      <c r="E17" s="8">
        <f>IFERROR(INDEX('Equipment Input'!J$2:J$100,MATCH(4,'Equipment Input'!I$2:I$100,0)),"")</f>
        <v/>
      </c>
    </row>
    <row r="18">
      <c r="A18" s="19" t="n">
        <v>5</v>
      </c>
      <c r="B18" s="19">
        <f>IFERROR(INDEX('Equipment Input'!A$2:A$100,MATCH(5,'Equipment Input'!I$2:I$100,0)),"")</f>
        <v/>
      </c>
      <c r="C18" s="19">
        <f>IFERROR(INDEX('Equipment Input'!B$2:B$100,MATCH(5,'Equipment Input'!I$2:I$100,0)),"")</f>
        <v/>
      </c>
      <c r="D18" s="20">
        <f>IFERROR(INDEX('Equipment Input'!H$2:H$100,MATCH(5,'Equipment Input'!I$2:I$100,0)),"")</f>
        <v/>
      </c>
      <c r="E18" s="19">
        <f>IFERROR(INDEX('Equipment Input'!J$2:J$100,MATCH(5,'Equipment Input'!I$2:I$100,0)),"")</f>
        <v/>
      </c>
    </row>
    <row r="19">
      <c r="A19" s="8" t="n">
        <v>6</v>
      </c>
      <c r="B19" s="8">
        <f>IFERROR(INDEX('Equipment Input'!A$2:A$100,MATCH(6,'Equipment Input'!I$2:I$100,0)),"")</f>
        <v/>
      </c>
      <c r="C19" s="8">
        <f>IFERROR(INDEX('Equipment Input'!B$2:B$100,MATCH(6,'Equipment Input'!I$2:I$100,0)),"")</f>
        <v/>
      </c>
      <c r="D19" s="21">
        <f>IFERROR(INDEX('Equipment Input'!H$2:H$100,MATCH(6,'Equipment Input'!I$2:I$100,0)),"")</f>
        <v/>
      </c>
      <c r="E19" s="8">
        <f>IFERROR(INDEX('Equipment Input'!J$2:J$100,MATCH(6,'Equipment Input'!I$2:I$100,0)),"")</f>
        <v/>
      </c>
    </row>
    <row r="20">
      <c r="A20" s="19" t="n">
        <v>7</v>
      </c>
      <c r="B20" s="19">
        <f>IFERROR(INDEX('Equipment Input'!A$2:A$100,MATCH(7,'Equipment Input'!I$2:I$100,0)),"")</f>
        <v/>
      </c>
      <c r="C20" s="19">
        <f>IFERROR(INDEX('Equipment Input'!B$2:B$100,MATCH(7,'Equipment Input'!I$2:I$100,0)),"")</f>
        <v/>
      </c>
      <c r="D20" s="20">
        <f>IFERROR(INDEX('Equipment Input'!H$2:H$100,MATCH(7,'Equipment Input'!I$2:I$100,0)),"")</f>
        <v/>
      </c>
      <c r="E20" s="19">
        <f>IFERROR(INDEX('Equipment Input'!J$2:J$100,MATCH(7,'Equipment Input'!I$2:I$100,0)),"")</f>
        <v/>
      </c>
    </row>
    <row r="21">
      <c r="A21" s="8" t="n">
        <v>8</v>
      </c>
      <c r="B21" s="8">
        <f>IFERROR(INDEX('Equipment Input'!A$2:A$100,MATCH(8,'Equipment Input'!I$2:I$100,0)),"")</f>
        <v/>
      </c>
      <c r="C21" s="8">
        <f>IFERROR(INDEX('Equipment Input'!B$2:B$100,MATCH(8,'Equipment Input'!I$2:I$100,0)),"")</f>
        <v/>
      </c>
      <c r="D21" s="21">
        <f>IFERROR(INDEX('Equipment Input'!H$2:H$100,MATCH(8,'Equipment Input'!I$2:I$100,0)),"")</f>
        <v/>
      </c>
      <c r="E21" s="8">
        <f>IFERROR(INDEX('Equipment Input'!J$2:J$100,MATCH(8,'Equipment Input'!I$2:I$100,0)),"")</f>
        <v/>
      </c>
    </row>
    <row r="22">
      <c r="A22" s="19" t="n">
        <v>9</v>
      </c>
      <c r="B22" s="19">
        <f>IFERROR(INDEX('Equipment Input'!A$2:A$100,MATCH(9,'Equipment Input'!I$2:I$100,0)),"")</f>
        <v/>
      </c>
      <c r="C22" s="19">
        <f>IFERROR(INDEX('Equipment Input'!B$2:B$100,MATCH(9,'Equipment Input'!I$2:I$100,0)),"")</f>
        <v/>
      </c>
      <c r="D22" s="20">
        <f>IFERROR(INDEX('Equipment Input'!H$2:H$100,MATCH(9,'Equipment Input'!I$2:I$100,0)),"")</f>
        <v/>
      </c>
      <c r="E22" s="19">
        <f>IFERROR(INDEX('Equipment Input'!J$2:J$100,MATCH(9,'Equipment Input'!I$2:I$100,0)),"")</f>
        <v/>
      </c>
    </row>
    <row r="23">
      <c r="A23" s="8" t="n">
        <v>10</v>
      </c>
      <c r="B23" s="8">
        <f>IFERROR(INDEX('Equipment Input'!A$2:A$100,MATCH(10,'Equipment Input'!I$2:I$100,0)),"")</f>
        <v/>
      </c>
      <c r="C23" s="8">
        <f>IFERROR(INDEX('Equipment Input'!B$2:B$100,MATCH(10,'Equipment Input'!I$2:I$100,0)),"")</f>
        <v/>
      </c>
      <c r="D23" s="21">
        <f>IFERROR(INDEX('Equipment Input'!H$2:H$100,MATCH(10,'Equipment Input'!I$2:I$100,0)),"")</f>
        <v/>
      </c>
      <c r="E23" s="8">
        <f>IFERROR(INDEX('Equipment Input'!J$2:J$100,MATCH(10,'Equipment Input'!I$2:I$100,0)),"")</f>
        <v/>
      </c>
    </row>
    <row r="30">
      <c r="A30" s="4" t="inlineStr">
        <is>
          <t>© 2026 Reliability HQ | reliabilityhq.com</t>
        </is>
      </c>
    </row>
  </sheetData>
  <mergeCells count="1">
    <mergeCell ref="A30:E3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2026-02-01T19:00:50Z</dcterms:created>
  <dcterms:modified xsi:type="dcterms:W3CDTF">2026-02-01T19:00:50Z</dcterms:modified>
</cp:coreProperties>
</file>